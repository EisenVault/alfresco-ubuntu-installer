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49174f38d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0b52f944ca406c"/>
    <x:sheet xmlns:r="http://schemas.openxmlformats.org/officeDocument/2006/relationships" name="UAT Test Cases" sheetId="2" r:id="R118e429b47d0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fd460d1204434" /><Relationship Type="http://schemas.openxmlformats.org/officeDocument/2006/relationships/theme" Target="/xl/theme/theme1.xml" Id="R35c3552f06c74a5d" /><Relationship Type="http://schemas.openxmlformats.org/officeDocument/2006/relationships/sharedStrings" Target="/xl/sharedStrings.xml" Id="Rc66252c258c448a6" /><Relationship Type="http://schemas.openxmlformats.org/officeDocument/2006/relationships/worksheet" Target="/xl/worksheets/sheet1.xml" Id="R670b52f944ca406c" /><Relationship Type="http://schemas.openxmlformats.org/officeDocument/2006/relationships/worksheet" Target="/xl/worksheets/sheet2.xml" Id="R118e429b47d04e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ACS 26.1 Migration — UAT Execution Summary</x:v>
      </x:c>
      <x:c r="B1" s="5"/>
      <x:c r="C1" s="5"/>
      <x:c r="D1" s="5"/>
      <x:c r="E1" s="5"/>
      <x:c r="F1" s="5"/>
      <x:c r="G1" s="5"/>
      <x:c r="H1" s="5"/>
    </x:row>
    <x:row r="3">
      <x:c r="A3" s="21" t="str">
        <x:v>Metric</x:v>
      </x:c>
      <x:c r="B3" s="21" t="str">
        <x:v>Value</x:v>
      </x:c>
    </x:row>
    <x:row r="4">
      <x:c r="A4" t="str">
        <x:v>Total test cases</x:v>
      </x:c>
      <x:c r="B4" t="n">
        <x:f>COUNTA('UAT Test Cases'!A5:A46)</x:f>
        <x:v>42</x:v>
      </x:c>
    </x:row>
    <x:row r="5">
      <x:c r="A5" t="str">
        <x:v>Not Run</x:v>
      </x:c>
      <x:c r="B5" t="n">
        <x:f>COUNTIF('UAT Test Cases'!H5:H46,"Not Run")</x:f>
        <x:v>42</x:v>
      </x:c>
    </x:row>
    <x:row r="6">
      <x:c r="A6" t="str">
        <x:v>Pass</x:v>
      </x:c>
      <x:c r="B6" t="n">
        <x:f>COUNTIF('UAT Test Cases'!H5:H46,"Pass")</x:f>
        <x:v>0</x:v>
      </x:c>
    </x:row>
    <x:row r="7">
      <x:c r="A7" t="str">
        <x:v>Fail</x:v>
      </x:c>
      <x:c r="B7" t="n">
        <x:f>COUNTIF('UAT Test Cases'!H5:H46,"Fail")</x:f>
        <x:v>0</x:v>
      </x:c>
    </x:row>
    <x:row r="8">
      <x:c r="A8" t="str">
        <x:v>Blocked</x:v>
      </x:c>
      <x:c r="B8" t="n">
        <x:f>COUNTIF('UAT Test Cases'!H5:H46,"Blocked")</x:f>
        <x:v>0</x:v>
      </x:c>
    </x:row>
    <x:row r="9">
      <x:c r="A9" t="str">
        <x:v>Completion %</x:v>
      </x:c>
      <x:c r="B9" s="27" t="n">
        <x:f>IF(B4=0,0,(B6+B7+B8)/B4)</x:f>
        <x:v>0</x:v>
      </x:c>
    </x:row>
    <x:row r="12">
      <x:c r="A12" s="23" t="str">
        <x:v>Execution guidance</x:v>
      </x:c>
      <x:c r="B12" s="23"/>
      <x:c r="C12" s="23"/>
      <x:c r="D12" s="23"/>
      <x:c r="E12" s="23"/>
      <x:c r="F12" s="23"/>
      <x:c r="G12" s="23"/>
      <x:c r="H12" s="23"/>
    </x:row>
    <x:row r="13" ht="24" customHeight="1">
      <x:c r="A13" s="26" t="str">
        <x:v>Start with Critical and High priority cases. Record exact URLs, usernames/roles, document names, timestamps, HTTP status codes, screenshots, and relevant log excerpts for failures. Do not place passwords, private keys, or other secrets in this workbook.</x:v>
      </x:c>
      <x:c r="B13" s="26"/>
      <x:c r="C13" s="26"/>
      <x:c r="D13" s="26"/>
      <x:c r="E13" s="26"/>
      <x:c r="F13" s="26"/>
      <x:c r="G13" s="26"/>
      <x:c r="H13" s="26"/>
    </x:row>
    <x:row r="14" ht="24" customHeight="1">
      <x:c r="A14" s="26"/>
      <x:c r="B14" s="26"/>
      <x:c r="C14" s="26"/>
      <x:c r="D14" s="26"/>
      <x:c r="E14" s="26"/>
      <x:c r="F14" s="26"/>
      <x:c r="G14" s="26"/>
      <x:c r="H14" s="26"/>
    </x:row>
    <x:row r="15" ht="24" customHeight="1">
      <x:c r="A15" s="26"/>
      <x:c r="B15" s="26"/>
      <x:c r="C15" s="26"/>
      <x:c r="D15" s="26"/>
      <x:c r="E15" s="26"/>
      <x:c r="F15" s="26"/>
      <x:c r="G15" s="26"/>
      <x:c r="H15" s="26"/>
    </x:row>
    <x:row r="16" ht="24" customHeight="1">
      <x:c r="A16" s="26"/>
      <x:c r="B16" s="26"/>
      <x:c r="C16" s="26"/>
      <x:c r="D16" s="26"/>
      <x:c r="E16" s="26"/>
      <x:c r="F16" s="26"/>
      <x:c r="G16" s="26"/>
      <x:c r="H16" s="26"/>
    </x:row>
    <x:row r="17" ht="24" customHeight="1">
      <x:c r="A17" s="26"/>
      <x:c r="B17" s="26"/>
      <x:c r="C17" s="26"/>
      <x:c r="D17" s="26"/>
      <x:c r="E17" s="26"/>
      <x:c r="F17" s="26"/>
      <x:c r="G17" s="26"/>
      <x:c r="H17" s="26"/>
    </x:row>
    <x:row r="20">
      <x:c r="A20" s="20" t="str">
        <x:v>Priority</x:v>
      </x:c>
      <x:c r="B20" s="20" t="str">
        <x:v>Count</x:v>
      </x:c>
    </x:row>
    <x:row r="21">
      <x:c r="A21" t="str">
        <x:v>Critical</x:v>
      </x:c>
      <x:c r="B21" t="n">
        <x:f>COUNTIF('UAT Test Cases'!F5:F46,A21)</x:f>
        <x:v>8</x:v>
      </x:c>
    </x:row>
    <x:row r="22">
      <x:c r="A22" t="str">
        <x:v>High</x:v>
      </x:c>
      <x:c r="B22" t="n">
        <x:f>COUNTIF('UAT Test Cases'!F5:F46,A22)</x:f>
        <x:v>25</x:v>
      </x:c>
    </x:row>
    <x:row r="23">
      <x:c r="A23" t="str">
        <x:v>Medium</x:v>
      </x:c>
      <x:c r="B23" t="n">
        <x:f>COUNTIF('UAT Test Cases'!F5:F46,A23)</x:f>
        <x:v>9</x:v>
      </x:c>
    </x:row>
  </x:sheetData>
  <x:mergeCells>
    <x:mergeCell ref="A1:H1"/>
    <x:mergeCell ref="A12:H12"/>
    <x:mergeCell ref="A13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26" hidden="0" customWidth="1"/>
    <x:col min="4" max="4" width="62" hidden="0" customWidth="1"/>
    <x:col min="5" max="5" width="58" hidden="0" customWidth="1"/>
    <x:col min="6" max="6" width="11" hidden="0" customWidth="1"/>
    <x:col min="7" max="7" width="42" hidden="0" customWidth="1"/>
    <x:col min="8" max="8" width="13" hidden="0" customWidth="1"/>
    <x:col min="9" max="9" width="42" hidden="0" customWidth="1"/>
    <x:col min="10" max="10" width="18" hidden="0" customWidth="1"/>
    <x:col min="11" max="11" width="14" hidden="0" customWidth="1"/>
  </x:cols>
  <x:sheetData>
    <x:row r="1" ht="28" customHeight="1">
      <x:c r="A1" s="5" t="str">
        <x:v>ACS 26.1 Migration — Manual UAT Test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0" customHeight="1">
      <x:c r="A2" s="9" t="str">
        <x:v>Instructions: execute each test manually, record Actual result and Defect / notes, then set Status to Pass, Fail, Blocked, or Not Run. Use disposable test users/documents unless the case explicitly targets migrated data.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34" customHeight="1">
      <x:c r="A4" s="13" t="str">
        <x:v>Test ID</x:v>
      </x:c>
      <x:c r="B4" s="13" t="str">
        <x:v>Area</x:v>
      </x:c>
      <x:c r="C4" s="13" t="str">
        <x:v>Test case</x:v>
      </x:c>
      <x:c r="D4" s="13" t="str">
        <x:v>Steps to reproduce</x:v>
      </x:c>
      <x:c r="E4" s="13" t="str">
        <x:v>Expected result</x:v>
      </x:c>
      <x:c r="F4" s="13" t="str">
        <x:v>Priority</x:v>
      </x:c>
      <x:c r="G4" s="13" t="str">
        <x:v>Actual result</x:v>
      </x:c>
      <x:c r="H4" s="13" t="str">
        <x:v>Status</x:v>
      </x:c>
      <x:c r="I4" s="13" t="str">
        <x:v>Defect / notes</x:v>
      </x:c>
      <x:c r="J4" s="13" t="str">
        <x:v>Tester</x:v>
      </x:c>
      <x:c r="K4" s="13" t="str">
        <x:v>Test date</x:v>
      </x:c>
    </x:row>
    <x:row r="5" ht="72" customHeight="1">
      <x:c r="A5" s="14" t="str">
        <x:v>WF-01</x:v>
      </x:c>
      <x:c r="B5" s="1" t="str">
        <x:v>JKLC workflow</x:v>
      </x:c>
      <x:c r="C5" s="1" t="str">
        <x:v>Folder configuration</x:v>
      </x:c>
      <x:c r="D5" s="1" t="str">
        <x:v>Create/configure a target folder with the required scwf:userSelect configuration; save; reopen the folder settings.</x:v>
      </x:c>
      <x:c r="E5" s="1" t="str">
        <x:v>Folder configuration saves successfully and is retained after refresh/relogin.</x:v>
      </x:c>
      <x:c r="F5" s="15" t="str">
        <x:v>High</x:v>
      </x:c>
      <x:c r="G5" s="1" t="str"/>
      <x:c r="H5" s="18" t="str">
        <x:v>Not Run</x:v>
      </x:c>
      <x:c r="I5" s="1" t="str"/>
      <x:c r="J5" s="1" t="str"/>
      <x:c r="K5" s="1" t="str"/>
    </x:row>
    <x:row r="6" ht="72" customHeight="1">
      <x:c r="A6" s="14" t="str">
        <x:v>WF-02</x:v>
      </x:c>
      <x:c r="B6" s="1" t="str">
        <x:v>JKLC workflow</x:v>
      </x:c>
      <x:c r="C6" s="1" t="str">
        <x:v>Automatic upload trigger</x:v>
      </x:c>
      <x:c r="D6" s="1" t="str">
        <x:v>Configure a folder for automatic upload workflow; upload a disposable document; wait for workflow creation.</x:v>
      </x:c>
      <x:c r="E6" s="1" t="str">
        <x:v>Exactly one JKLC workflow instance is created for the uploaded document and the expected reviewer task is assigned.</x:v>
      </x:c>
      <x:c r="F6" s="15" t="str">
        <x:v>High</x:v>
      </x:c>
      <x:c r="G6" s="1" t="str"/>
      <x:c r="H6" s="18" t="str">
        <x:v>Not Run</x:v>
      </x:c>
      <x:c r="I6" s="1" t="str"/>
      <x:c r="J6" s="1" t="str"/>
      <x:c r="K6" s="1" t="str"/>
    </x:row>
    <x:row r="7" ht="72" customHeight="1">
      <x:c r="A7" s="14" t="str">
        <x:v>WF-03</x:v>
      </x:c>
      <x:c r="B7" s="1" t="str">
        <x:v>JKLC workflow</x:v>
      </x:c>
      <x:c r="C7" s="1" t="str">
        <x:v>Sequential approval</x:v>
      </x:c>
      <x:c r="D7" s="1" t="str">
        <x:v>Start a sequential review with disposable users; reviewer 1 approves; reviewer 2 approves; complete initiator acknowledgement.</x:v>
      </x:c>
      <x:c r="E7" s="1" t="str">
        <x:v>Tasks progress in sequence, notifications are sent, and the workflow completes with the document in the expected state.</x:v>
      </x:c>
      <x:c r="F7" s="15" t="str">
        <x:v>High</x:v>
      </x:c>
      <x:c r="G7" s="1" t="str"/>
      <x:c r="H7" s="18" t="str">
        <x:v>Not Run</x:v>
      </x:c>
      <x:c r="I7" s="1" t="str"/>
      <x:c r="J7" s="1" t="str"/>
      <x:c r="K7" s="1" t="str"/>
    </x:row>
    <x:row r="8" ht="72" customHeight="1">
      <x:c r="A8" s="14" t="str">
        <x:v>WF-04</x:v>
      </x:c>
      <x:c r="B8" s="1" t="str">
        <x:v>JKLC workflow</x:v>
      </x:c>
      <x:c r="C8" s="1" t="str">
        <x:v>Sequential rejection</x:v>
      </x:c>
      <x:c r="D8" s="1" t="str">
        <x:v>Start a sequential review; have a reviewer reject; complete any acknowledgement task.</x:v>
      </x:c>
      <x:c r="E8" s="1" t="str">
        <x:v>Rejection transition succeeds, the initiator receives the expected notification, and no orphan active task remains.</x:v>
      </x:c>
      <x:c r="F8" s="15" t="str">
        <x:v>High</x:v>
      </x:c>
      <x:c r="G8" s="1" t="str"/>
      <x:c r="H8" s="18" t="str">
        <x:v>Not Run</x:v>
      </x:c>
      <x:c r="I8" s="1" t="str"/>
      <x:c r="J8" s="1" t="str"/>
      <x:c r="K8" s="1" t="str"/>
    </x:row>
    <x:row r="9" ht="72" customHeight="1">
      <x:c r="A9" s="14" t="str">
        <x:v>WF-05</x:v>
      </x:c>
      <x:c r="B9" s="1" t="str">
        <x:v>JKLC workflow</x:v>
      </x:c>
      <x:c r="C9" s="1" t="str">
        <x:v>Version-change path</x:v>
      </x:c>
      <x:c r="D9" s="1" t="str">
        <x:v>Start a review; create a new document version while the workflow is active; inspect the task and history.</x:v>
      </x:c>
      <x:c r="E9" s="1" t="str">
        <x:v>Version-change behavior matches the business rule and the workflow references the correct document/version.</x:v>
      </x:c>
      <x:c r="F9" s="15" t="str">
        <x:v>Medium</x:v>
      </x:c>
      <x:c r="G9" s="1" t="str"/>
      <x:c r="H9" s="18" t="str">
        <x:v>Not Run</x:v>
      </x:c>
      <x:c r="I9" s="1" t="str"/>
      <x:c r="J9" s="1" t="str"/>
      <x:c r="K9" s="1" t="str"/>
    </x:row>
    <x:row r="10" ht="72" customHeight="1">
      <x:c r="A10" s="14" t="str">
        <x:v>WF-06</x:v>
      </x:c>
      <x:c r="B10" s="1" t="str">
        <x:v>JKLC workflow</x:v>
      </x:c>
      <x:c r="C10" s="1" t="str">
        <x:v>Permission enforcement</x:v>
      </x:c>
      <x:c r="D10" s="1" t="str">
        <x:v>Attempt workflow actions as initiator, assigned reviewer, non-assigned user, and unrelated site member.</x:v>
      </x:c>
      <x:c r="E10" s="1" t="str">
        <x:v>Only authorized users can view or act on tasks; unauthorized attempts are denied without data leakage.</x:v>
      </x:c>
      <x:c r="F10" s="15" t="str">
        <x:v>High</x:v>
      </x:c>
      <x:c r="G10" s="1" t="str"/>
      <x:c r="H10" s="18" t="str">
        <x:v>Not Run</x:v>
      </x:c>
      <x:c r="I10" s="1" t="str"/>
      <x:c r="J10" s="1" t="str"/>
      <x:c r="K10" s="1" t="str"/>
    </x:row>
    <x:row r="11" ht="72" customHeight="1">
      <x:c r="A11" s="14" t="str">
        <x:v>WF-07</x:v>
      </x:c>
      <x:c r="B11" s="1" t="str">
        <x:v>JKLC workflow</x:v>
      </x:c>
      <x:c r="C11" s="1" t="str">
        <x:v>Email templates</x:v>
      </x:c>
      <x:c r="D11" s="1" t="str">
        <x:v>Run a successful and rejected workflow; inspect all initiator/reviewer emails and links.</x:v>
      </x:c>
      <x:c r="E11" s="1" t="str">
        <x:v>Correct EisenVault email templates are used, recipients are correct, links resolve, and no sensitive values leak.</x:v>
      </x:c>
      <x:c r="F11" s="15" t="str">
        <x:v>Medium</x:v>
      </x:c>
      <x:c r="G11" s="1" t="str"/>
      <x:c r="H11" s="18" t="str">
        <x:v>Not Run</x:v>
      </x:c>
      <x:c r="I11" s="1" t="str"/>
      <x:c r="J11" s="1" t="str"/>
      <x:c r="K11" s="1" t="str"/>
    </x:row>
    <x:row r="12" ht="72" customHeight="1">
      <x:c r="A12" s="14" t="str">
        <x:v>WF-08</x:v>
      </x:c>
      <x:c r="B12" s="1" t="str">
        <x:v>Show All Workflows</x:v>
      </x:c>
      <x:c r="C12" s="1" t="str">
        <x:v>History visibility</x:v>
      </x:c>
      <x:c r="D12" s="1" t="str">
        <x:v>Open workflow history for a document as administrator, initiator, reviewer, and unrelated user.</x:v>
      </x:c>
      <x:c r="E12" s="1" t="str">
        <x:v>History visibility matches the approved role policy; unauthorized users cannot view another user’s workflow details.</x:v>
      </x:c>
      <x:c r="F12" s="15" t="str">
        <x:v>High</x:v>
      </x:c>
      <x:c r="G12" s="1" t="str"/>
      <x:c r="H12" s="18" t="str">
        <x:v>Not Run</x:v>
      </x:c>
      <x:c r="I12" s="1" t="str"/>
      <x:c r="J12" s="1" t="str"/>
      <x:c r="K12" s="1" t="str"/>
    </x:row>
    <x:row r="13" ht="72" customHeight="1">
      <x:c r="A13" s="14" t="str">
        <x:v>SH-01</x:v>
      </x:c>
      <x:c r="B13" s="1" t="str">
        <x:v>Share UI</x:v>
      </x:c>
      <x:c r="C13" s="1" t="str">
        <x:v>Login and dashboard</x:v>
      </x:c>
      <x:c r="D13" s="1" t="str">
        <x:v>Open Share through the production reverse-proxy URL; log in as admin and standard user; navigate the dashboard.</x:v>
      </x:c>
      <x:c r="E13" s="1" t="str">
        <x:v>Login, logout, dashboard loading, navigation, branding, and browser console are error-free.</x:v>
      </x:c>
      <x:c r="F13" s="15" t="str">
        <x:v>High</x:v>
      </x:c>
      <x:c r="G13" s="1" t="str"/>
      <x:c r="H13" s="18" t="str">
        <x:v>Not Run</x:v>
      </x:c>
      <x:c r="I13" s="1" t="str"/>
      <x:c r="J13" s="1" t="str"/>
      <x:c r="K13" s="1" t="str"/>
    </x:row>
    <x:row r="14" ht="72" customHeight="1">
      <x:c r="A14" s="14" t="str">
        <x:v>SH-02</x:v>
      </x:c>
      <x:c r="B14" s="1" t="str">
        <x:v>Share UI</x:v>
      </x:c>
      <x:c r="C14" s="1" t="str">
        <x:v>Document Library</x:v>
      </x:c>
      <x:c r="D14" s="1" t="str">
        <x:v>Open Document Library; browse folders; upload a disposable text file; rename, move, and delete it if permitted.</x:v>
      </x:c>
      <x:c r="E14" s="1" t="str">
        <x:v>Library loads correctly and permitted content actions work without JavaScript, template, or permission errors.</x:v>
      </x:c>
      <x:c r="F14" s="15" t="str">
        <x:v>High</x:v>
      </x:c>
      <x:c r="G14" s="1" t="str"/>
      <x:c r="H14" s="18" t="str">
        <x:v>Not Run</x:v>
      </x:c>
      <x:c r="I14" s="1" t="str"/>
      <x:c r="J14" s="1" t="str"/>
      <x:c r="K14" s="1" t="str"/>
    </x:row>
    <x:row r="15" ht="72" customHeight="1">
      <x:c r="A15" s="14" t="str">
        <x:v>SH-03</x:v>
      </x:c>
      <x:c r="B15" s="1" t="str">
        <x:v>Share UI</x:v>
      </x:c>
      <x:c r="C15" s="1" t="str">
        <x:v>PDF preview</x:v>
      </x:c>
      <x:c r="D15" s="1" t="str">
        <x:v>Upload/open a PDF and inspect the preview, thumbnail, download, and print controls.</x:v>
      </x:c>
      <x:c r="E15" s="1" t="str">
        <x:v>PDF preview renders the intended rendition; controls follow the user role and no original-content bypass exists.</x:v>
      </x:c>
      <x:c r="F15" s="15" t="str">
        <x:v>High</x:v>
      </x:c>
      <x:c r="G15" s="1" t="str"/>
      <x:c r="H15" s="18" t="str">
        <x:v>Not Run</x:v>
      </x:c>
      <x:c r="I15" s="1" t="str"/>
      <x:c r="J15" s="1" t="str"/>
      <x:c r="K15" s="1" t="str"/>
    </x:row>
    <x:row r="16" ht="72" customHeight="1">
      <x:c r="A16" s="14" t="str">
        <x:v>SH-04</x:v>
      </x:c>
      <x:c r="B16" s="1" t="str">
        <x:v>Share UI</x:v>
      </x:c>
      <x:c r="C16" s="1" t="str">
        <x:v>Office preview regression</x:v>
      </x:c>
      <x:c r="D16" s="1" t="str">
        <x:v>Upload one DOCX, XLSX, and PPTX; open each in Share preview.</x:v>
      </x:c>
      <x:c r="E16" s="1" t="str">
        <x:v>Each supported Office file produces a correct preview and thumbnail with no conversion errors.</x:v>
      </x:c>
      <x:c r="F16" s="15" t="str">
        <x:v>High</x:v>
      </x:c>
      <x:c r="G16" s="1" t="str"/>
      <x:c r="H16" s="18" t="str">
        <x:v>Not Run</x:v>
      </x:c>
      <x:c r="I16" s="1" t="str"/>
      <x:c r="J16" s="1" t="str"/>
      <x:c r="K16" s="1" t="str"/>
    </x:row>
    <x:row r="17" ht="72" customHeight="1">
      <x:c r="A17" s="14" t="str">
        <x:v>SH-05</x:v>
      </x:c>
      <x:c r="B17" s="1" t="str">
        <x:v>Share UI</x:v>
      </x:c>
      <x:c r="C17" s="1" t="str">
        <x:v>Image/media preview</x:v>
      </x:c>
      <x:c r="D17" s="1" t="str">
        <x:v>Upload representative JPG/PNG and media files; open previews and inspect metadata.</x:v>
      </x:c>
      <x:c r="E17" s="1" t="str">
        <x:v>Supported images/media preview correctly; unsupported formats fail gracefully with a clear message.</x:v>
      </x:c>
      <x:c r="F17" s="15" t="str">
        <x:v>Medium</x:v>
      </x:c>
      <x:c r="G17" s="1" t="str"/>
      <x:c r="H17" s="18" t="str">
        <x:v>Not Run</x:v>
      </x:c>
      <x:c r="I17" s="1" t="str"/>
      <x:c r="J17" s="1" t="str"/>
      <x:c r="K17" s="1" t="str"/>
    </x:row>
    <x:row r="18" ht="72" customHeight="1">
      <x:c r="A18" s="14" t="str">
        <x:v>SH-06</x:v>
      </x:c>
      <x:c r="B18" s="1" t="str">
        <x:v>Share UI</x:v>
      </x:c>
      <x:c r="C18" s="1" t="str">
        <x:v>Search</x:v>
      </x:c>
      <x:c r="D18" s="1" t="str">
        <x:v>Create a unique disposable document; search for its unique phrase; use filters and suggestions.</x:v>
      </x:c>
      <x:c r="E18" s="1" t="str">
        <x:v>The document becomes searchable within the expected interval and filters/suggestions return correct results.</x:v>
      </x:c>
      <x:c r="F18" s="15" t="str">
        <x:v>High</x:v>
      </x:c>
      <x:c r="G18" s="1" t="str"/>
      <x:c r="H18" s="18" t="str">
        <x:v>Not Run</x:v>
      </x:c>
      <x:c r="I18" s="1" t="str"/>
      <x:c r="J18" s="1" t="str"/>
      <x:c r="K18" s="1" t="str"/>
    </x:row>
    <x:row r="19" ht="72" customHeight="1">
      <x:c r="A19" s="14" t="str">
        <x:v>SH-07</x:v>
      </x:c>
      <x:c r="B19" s="1" t="str">
        <x:v>Share UI</x:v>
      </x:c>
      <x:c r="C19" s="1" t="str">
        <x:v>SiteViewer action restrictions</x:v>
      </x:c>
      <x:c r="D19" s="1" t="str">
        <x:v>Log in as SiteViewer, including a user with overlapping Consumer access; inspect document and folder actions.</x:v>
      </x:c>
      <x:c r="E19" s="1" t="str">
        <x:v>Download, view-in-browser, print-as-PDF, folder-download, copy, and header download actions are hidden or denied.</x:v>
      </x:c>
      <x:c r="F19" s="15" t="str">
        <x:v>Critical</x:v>
      </x:c>
      <x:c r="G19" s="1" t="str"/>
      <x:c r="H19" s="18" t="str">
        <x:v>Not Run</x:v>
      </x:c>
      <x:c r="I19" s="1" t="str"/>
      <x:c r="J19" s="1" t="str"/>
      <x:c r="K19" s="1" t="str"/>
    </x:row>
    <x:row r="20" ht="72" customHeight="1">
      <x:c r="A20" s="14" t="str">
        <x:v>SH-08</x:v>
      </x:c>
      <x:c r="B20" s="1" t="str">
        <x:v>Share UI</x:v>
      </x:c>
      <x:c r="C20" s="1" t="str">
        <x:v>SiteViewer derived preview</x:v>
      </x:c>
      <x:c r="D20" s="1" t="str">
        <x:v>As SiteViewer, open a permitted derived preview; try direct source URLs, rendition URLs, REST, and legacy content URLs.</x:v>
      </x:c>
      <x:c r="E20" s="1" t="str">
        <x:v>Only whitelisted derived renditions are served; source content and unauthorized renditions are denied, including direct/API access.</x:v>
      </x:c>
      <x:c r="F20" s="15" t="str">
        <x:v>Critical</x:v>
      </x:c>
      <x:c r="G20" s="1" t="str"/>
      <x:c r="H20" s="18" t="str">
        <x:v>Not Run</x:v>
      </x:c>
      <x:c r="I20" s="1" t="str"/>
      <x:c r="J20" s="1" t="str"/>
      <x:c r="K20" s="1" t="str"/>
    </x:row>
    <x:row r="21" ht="72" customHeight="1">
      <x:c r="A21" s="14" t="str">
        <x:v>SH-09</x:v>
      </x:c>
      <x:c r="B21" s="1" t="str">
        <x:v>Share UI</x:v>
      </x:c>
      <x:c r="C21" s="1" t="str">
        <x:v>Compressed-PDF badge</x:v>
      </x:c>
      <x:c r="D21" s="1" t="str">
        <x:v>Place a PDF below an ev:pdffolder ancestor and inspect the document header; repeat outside the ancestor.</x:v>
      </x:c>
      <x:c r="E21" s="1" t="str">
        <x:v>The compressed-PDF label appears only when the required ancestor/aspect condition is true.</x:v>
      </x:c>
      <x:c r="F21" s="15" t="str">
        <x:v>Medium</x:v>
      </x:c>
      <x:c r="G21" s="1" t="str"/>
      <x:c r="H21" s="18" t="str">
        <x:v>Not Run</x:v>
      </x:c>
      <x:c r="I21" s="1" t="str"/>
      <x:c r="J21" s="1" t="str"/>
      <x:c r="K21" s="1" t="str"/>
    </x:row>
    <x:row r="22" ht="72" customHeight="1">
      <x:c r="A22" s="14" t="str">
        <x:v>SH-10</x:v>
      </x:c>
      <x:c r="B22" s="1" t="str">
        <x:v>Share UI</x:v>
      </x:c>
      <x:c r="C22" s="1" t="str">
        <x:v>Authorization negatives</x:v>
      </x:c>
      <x:c r="D22" s="1" t="str">
        <x:v>Attempt to access sites, documents, actions, previews, and workflow pages using users with insufficient roles.</x:v>
      </x:c>
      <x:c r="E22" s="1" t="str">
        <x:v>Every unauthorized operation is denied consistently with no content, metadata, or error-detail leakage.</x:v>
      </x:c>
      <x:c r="F22" s="15" t="str">
        <x:v>High</x:v>
      </x:c>
      <x:c r="G22" s="1" t="str"/>
      <x:c r="H22" s="18" t="str">
        <x:v>Not Run</x:v>
      </x:c>
      <x:c r="I22" s="1" t="str"/>
      <x:c r="J22" s="1" t="str"/>
      <x:c r="K22" s="1" t="str"/>
    </x:row>
    <x:row r="23" ht="72" customHeight="1">
      <x:c r="A23" s="14" t="str">
        <x:v>SH-11</x:v>
      </x:c>
      <x:c r="B23" s="1" t="str">
        <x:v>Share UI</x:v>
      </x:c>
      <x:c r="C23" s="1" t="str">
        <x:v>Browser/reverse proxy/CSP</x:v>
      </x:c>
      <x:c r="D23" s="1" t="str">
        <x:v>Test supported browsers through the real TLS/reverse-proxy path; inspect network, CSP, and console errors.</x:v>
      </x:c>
      <x:c r="E23" s="1" t="str">
        <x:v>No mixed-content, CSP, path, TLS, or browser compatibility errors block core workflows.</x:v>
      </x:c>
      <x:c r="F23" s="15" t="str">
        <x:v>Medium</x:v>
      </x:c>
      <x:c r="G23" s="1" t="str"/>
      <x:c r="H23" s="18" t="str">
        <x:v>Not Run</x:v>
      </x:c>
      <x:c r="I23" s="1" t="str"/>
      <x:c r="J23" s="1" t="str"/>
      <x:c r="K23" s="1" t="str"/>
    </x:row>
    <x:row r="24" ht="72" customHeight="1">
      <x:c r="A24" s="14" t="str">
        <x:v>OO-01</x:v>
      </x:c>
      <x:c r="B24" s="1" t="str">
        <x:v>ONLYOFFICE</x:v>
      </x:c>
      <x:c r="C24" s="1" t="str">
        <x:v>DOCX edit/save</x:v>
      </x:c>
      <x:c r="D24" s="1" t="str">
        <x:v>Open a disposable DOCX in ONLYOFFICE; edit content; save and close; reopen in Share.</x:v>
      </x:c>
      <x:c r="E24" s="1" t="str">
        <x:v>Edits save to Alfresco, the document remains readable, and the expected version is created.</x:v>
      </x:c>
      <x:c r="F24" s="15" t="str">
        <x:v>High</x:v>
      </x:c>
      <x:c r="G24" s="1" t="str"/>
      <x:c r="H24" s="18" t="str">
        <x:v>Not Run</x:v>
      </x:c>
      <x:c r="I24" s="1" t="str"/>
      <x:c r="J24" s="1" t="str"/>
      <x:c r="K24" s="1" t="str"/>
    </x:row>
    <x:row r="25" ht="72" customHeight="1">
      <x:c r="A25" s="14" t="str">
        <x:v>OO-02</x:v>
      </x:c>
      <x:c r="B25" s="1" t="str">
        <x:v>ONLYOFFICE</x:v>
      </x:c>
      <x:c r="C25" s="1" t="str">
        <x:v>XLSX edit/save</x:v>
      </x:c>
      <x:c r="D25" s="1" t="str">
        <x:v>Repeat editing and saving with an XLSX containing formulas and formatting.</x:v>
      </x:c>
      <x:c r="E25" s="1" t="str">
        <x:v>Workbook edits, formulas, and formatting persist correctly after callback and reopen.</x:v>
      </x:c>
      <x:c r="F25" s="15" t="str">
        <x:v>High</x:v>
      </x:c>
      <x:c r="G25" s="1" t="str"/>
      <x:c r="H25" s="18" t="str">
        <x:v>Not Run</x:v>
      </x:c>
      <x:c r="I25" s="1" t="str"/>
      <x:c r="J25" s="1" t="str"/>
      <x:c r="K25" s="1" t="str"/>
    </x:row>
    <x:row r="26" ht="72" customHeight="1">
      <x:c r="A26" s="14" t="str">
        <x:v>OO-03</x:v>
      </x:c>
      <x:c r="B26" s="1" t="str">
        <x:v>ONLYOFFICE</x:v>
      </x:c>
      <x:c r="C26" s="1" t="str">
        <x:v>PPTX edit/save</x:v>
      </x:c>
      <x:c r="D26" s="1" t="str">
        <x:v>Repeat editing and saving with a PPTX containing multiple slides and images.</x:v>
      </x:c>
      <x:c r="E26" s="1" t="str">
        <x:v>Presentation edits and embedded images persist correctly after callback and reopen.</x:v>
      </x:c>
      <x:c r="F26" s="15" t="str">
        <x:v>Medium</x:v>
      </x:c>
      <x:c r="G26" s="1" t="str"/>
      <x:c r="H26" s="18" t="str">
        <x:v>Not Run</x:v>
      </x:c>
      <x:c r="I26" s="1" t="str"/>
      <x:c r="J26" s="1" t="str"/>
      <x:c r="K26" s="1" t="str"/>
    </x:row>
    <x:row r="27" ht="72" customHeight="1">
      <x:c r="A27" s="14" t="str">
        <x:v>OO-04</x:v>
      </x:c>
      <x:c r="B27" s="1" t="str">
        <x:v>ONLYOFFICE</x:v>
      </x:c>
      <x:c r="C27" s="1" t="str">
        <x:v>Version creation</x:v>
      </x:c>
      <x:c r="D27" s="1" t="str">
        <x:v>Edit the same document multiple times and inspect Alfresco version history.</x:v>
      </x:c>
      <x:c r="E27" s="1" t="str">
        <x:v>Each configured save creates the expected version, with correct creator, timestamp, and content.</x:v>
      </x:c>
      <x:c r="F27" s="15" t="str">
        <x:v>High</x:v>
      </x:c>
      <x:c r="G27" s="1" t="str"/>
      <x:c r="H27" s="18" t="str">
        <x:v>Not Run</x:v>
      </x:c>
      <x:c r="I27" s="1" t="str"/>
      <x:c r="J27" s="1" t="str"/>
      <x:c r="K27" s="1" t="str"/>
    </x:row>
    <x:row r="28" ht="72" customHeight="1">
      <x:c r="A28" s="14" t="str">
        <x:v>OO-05</x:v>
      </x:c>
      <x:c r="B28" s="1" t="str">
        <x:v>ONLYOFFICE</x:v>
      </x:c>
      <x:c r="C28" s="1" t="str">
        <x:v>Lock/conflict behavior</x:v>
      </x:c>
      <x:c r="D28" s="1" t="str">
        <x:v>Open the same document as two users; edit concurrently; save from both sessions.</x:v>
      </x:c>
      <x:c r="E28" s="1" t="str">
        <x:v>Locks/conflicts are handled predictably; no silent overwrite occurs and users receive clear feedback.</x:v>
      </x:c>
      <x:c r="F28" s="15" t="str">
        <x:v>High</x:v>
      </x:c>
      <x:c r="G28" s="1" t="str"/>
      <x:c r="H28" s="18" t="str">
        <x:v>Not Run</x:v>
      </x:c>
      <x:c r="I28" s="1" t="str"/>
      <x:c r="J28" s="1" t="str"/>
      <x:c r="K28" s="1" t="str"/>
    </x:row>
    <x:row r="29" ht="72" customHeight="1">
      <x:c r="A29" s="14" t="str">
        <x:v>OO-06</x:v>
      </x:c>
      <x:c r="B29" s="1" t="str">
        <x:v>ONLYOFFICE</x:v>
      </x:c>
      <x:c r="C29" s="1" t="str">
        <x:v>Permissions</x:v>
      </x:c>
      <x:c r="D29" s="1" t="str">
        <x:v>Try opening/editing as owner, Consumer, SiteViewer, and unauthorized user.</x:v>
      </x:c>
      <x:c r="E29" s="1" t="str">
        <x:v>Only users with edit permission can edit/save; view-only and unauthorized users cannot modify content.</x:v>
      </x:c>
      <x:c r="F29" s="15" t="str">
        <x:v>High</x:v>
      </x:c>
      <x:c r="G29" s="1" t="str"/>
      <x:c r="H29" s="18" t="str">
        <x:v>Not Run</x:v>
      </x:c>
      <x:c r="I29" s="1" t="str"/>
      <x:c r="J29" s="1" t="str"/>
      <x:c r="K29" s="1" t="str"/>
    </x:row>
    <x:row r="30" ht="72" customHeight="1">
      <x:c r="A30" s="14" t="str">
        <x:v>OO-07</x:v>
      </x:c>
      <x:c r="B30" s="1" t="str">
        <x:v>ONLYOFFICE</x:v>
      </x:c>
      <x:c r="C30" s="1" t="str">
        <x:v>Document Server recovery</x:v>
      </x:c>
      <x:c r="D30" s="1" t="str">
        <x:v>Stop or disconnect the Document Server during an edit; restore it; retry the operation.</x:v>
      </x:c>
      <x:c r="E30" s="1" t="str">
        <x:v>Failure is visible, no corrupt callback is recorded, and service recovers without manual database cleanup.</x:v>
      </x:c>
      <x:c r="F30" s="15" t="str">
        <x:v>High</x:v>
      </x:c>
      <x:c r="G30" s="1" t="str"/>
      <x:c r="H30" s="18" t="str">
        <x:v>Not Run</x:v>
      </x:c>
      <x:c r="I30" s="1" t="str"/>
      <x:c r="J30" s="1" t="str"/>
      <x:c r="K30" s="1" t="str"/>
    </x:row>
    <x:row r="31" ht="72" customHeight="1">
      <x:c r="A31" s="14" t="str">
        <x:v>OO-08</x:v>
      </x:c>
      <x:c r="B31" s="1" t="str">
        <x:v>ONLYOFFICE</x:v>
      </x:c>
      <x:c r="C31" s="1" t="str">
        <x:v>Restart/JWT smoke test</x:v>
      </x:c>
      <x:c r="D31" s="1" t="str">
        <x:v>Restart repository, Share, and Document Server; open the editor and save a disposable file.</x:v>
      </x:c>
      <x:c r="E31" s="1" t="str">
        <x:v>JWT authentication remains valid after restart and the editor/callback path works end-to-end.</x:v>
      </x:c>
      <x:c r="F31" s="15" t="str">
        <x:v>High</x:v>
      </x:c>
      <x:c r="G31" s="1" t="str"/>
      <x:c r="H31" s="18" t="str">
        <x:v>Not Run</x:v>
      </x:c>
      <x:c r="I31" s="1" t="str"/>
      <x:c r="J31" s="1" t="str"/>
      <x:c r="K31" s="1" t="str"/>
    </x:row>
    <x:row r="32" ht="72" customHeight="1">
      <x:c r="A32" s="14" t="str">
        <x:v>PDF-01</x:v>
      </x:c>
      <x:c r="B32" s="1" t="str">
        <x:v>PDF Toolkit</x:v>
      </x:c>
      <x:c r="C32" s="1" t="str">
        <x:v>Page rotation</x:v>
      </x:c>
      <x:c r="D32" s="1" t="str">
        <x:v>Open the PDF action form; rotate selected pages on a disposable PDF; download/open result.</x:v>
      </x:c>
      <x:c r="E32" s="1" t="str">
        <x:v>Form loads, rotation applies only to selected pages, and the output PDF opens successfully.</x:v>
      </x:c>
      <x:c r="F32" s="15" t="str">
        <x:v>Medium</x:v>
      </x:c>
      <x:c r="G32" s="1" t="str"/>
      <x:c r="H32" s="18" t="str">
        <x:v>Not Run</x:v>
      </x:c>
      <x:c r="I32" s="1" t="str"/>
      <x:c r="J32" s="1" t="str"/>
      <x:c r="K32" s="1" t="str"/>
    </x:row>
    <x:row r="33" ht="72" customHeight="1">
      <x:c r="A33" s="14" t="str">
        <x:v>PDF-02</x:v>
      </x:c>
      <x:c r="B33" s="1" t="str">
        <x:v>PDF Toolkit</x:v>
      </x:c>
      <x:c r="C33" s="1" t="str">
        <x:v>Watermarking</x:v>
      </x:c>
      <x:c r="D33" s="1" t="str">
        <x:v>Apply a text/image watermark using the browser form to a disposable PDF.</x:v>
      </x:c>
      <x:c r="E33" s="1" t="str">
        <x:v>Watermark is applied with the requested position/opacity and the original remains unchanged.</x:v>
      </x:c>
      <x:c r="F33" s="15" t="str">
        <x:v>Medium</x:v>
      </x:c>
      <x:c r="G33" s="1" t="str"/>
      <x:c r="H33" s="18" t="str">
        <x:v>Not Run</x:v>
      </x:c>
      <x:c r="I33" s="1" t="str"/>
      <x:c r="J33" s="1" t="str"/>
      <x:c r="K33" s="1" t="str"/>
    </x:row>
    <x:row r="34" ht="72" customHeight="1">
      <x:c r="A34" s="14" t="str">
        <x:v>PDF-03</x:v>
      </x:c>
      <x:c r="B34" s="1" t="str">
        <x:v>PDF Toolkit</x:v>
      </x:c>
      <x:c r="C34" s="1" t="str">
        <x:v>Splitting</x:v>
      </x:c>
      <x:c r="D34" s="1" t="str">
        <x:v>Split a disposable multi-page PDF by selected pages/ranges.</x:v>
      </x:c>
      <x:c r="E34" s="1" t="str">
        <x:v>All expected output files are created with correct page counts and readable content.</x:v>
      </x:c>
      <x:c r="F34" s="15" t="str">
        <x:v>Medium</x:v>
      </x:c>
      <x:c r="G34" s="1" t="str"/>
      <x:c r="H34" s="18" t="str">
        <x:v>Not Run</x:v>
      </x:c>
      <x:c r="I34" s="1" t="str"/>
      <x:c r="J34" s="1" t="str"/>
      <x:c r="K34" s="1" t="str"/>
    </x:row>
    <x:row r="35" ht="72" customHeight="1">
      <x:c r="A35" s="14" t="str">
        <x:v>PDF-04</x:v>
      </x:c>
      <x:c r="B35" s="1" t="str">
        <x:v>PDF Toolkit</x:v>
      </x:c>
      <x:c r="C35" s="1" t="str">
        <x:v>Encryption/decryption</x:v>
      </x:c>
      <x:c r="D35" s="1" t="str">
        <x:v>Encrypt a disposable PDF with a test password; reopen; decrypt it through the action form.</x:v>
      </x:c>
      <x:c r="E35" s="1" t="str">
        <x:v>Encryption blocks access without the password; decryption succeeds with the correct password and preserves content.</x:v>
      </x:c>
      <x:c r="F35" s="15" t="str">
        <x:v>High</x:v>
      </x:c>
      <x:c r="G35" s="1" t="str"/>
      <x:c r="H35" s="18" t="str">
        <x:v>Not Run</x:v>
      </x:c>
      <x:c r="I35" s="1" t="str"/>
      <x:c r="J35" s="1" t="str"/>
      <x:c r="K35" s="1" t="str"/>
    </x:row>
    <x:row r="36" ht="72" customHeight="1">
      <x:c r="A36" s="14" t="str">
        <x:v>PDF-05</x:v>
      </x:c>
      <x:c r="B36" s="1" t="str">
        <x:v>PDF Toolkit</x:v>
      </x:c>
      <x:c r="C36" s="1" t="str">
        <x:v>E-Sign retirement</x:v>
      </x:c>
      <x:c r="D36" s="1" t="str">
        <x:v>Inspect Document Library actions for several document types as admin and standard user.</x:v>
      </x:c>
      <x:c r="E36" s="1" t="str">
        <x:v>No E-Sign/digital-signature action is exposed anywhere in the retained PDF Toolkit UI.</x:v>
      </x:c>
      <x:c r="F36" s="15" t="str">
        <x:v>High</x:v>
      </x:c>
      <x:c r="G36" s="1" t="str"/>
      <x:c r="H36" s="18" t="str">
        <x:v>Not Run</x:v>
      </x:c>
      <x:c r="I36" s="1" t="str"/>
      <x:c r="J36" s="1" t="str"/>
      <x:c r="K36" s="1" t="str"/>
    </x:row>
    <x:row r="37" ht="72" customHeight="1">
      <x:c r="A37" s="14" t="str">
        <x:v>REPO-01</x:v>
      </x:c>
      <x:c r="B37" s="1" t="str">
        <x:v>Repository</x:v>
      </x:c>
      <x:c r="C37" s="1" t="str">
        <x:v>Custom endpoint regression</x:v>
      </x:c>
      <x:c r="D37" s="1" t="str">
        <x:v>Exercise custom REST/web-script endpoints for welcome, size, user count, password, audit, and workflow helpers.</x:v>
      </x:c>
      <x:c r="E37" s="1" t="str">
        <x:v>Authorized calls return the documented response; invalid input and unauthorized calls are rejected safely.</x:v>
      </x:c>
      <x:c r="F37" s="15" t="str">
        <x:v>High</x:v>
      </x:c>
      <x:c r="G37" s="1" t="str"/>
      <x:c r="H37" s="18" t="str">
        <x:v>Not Run</x:v>
      </x:c>
      <x:c r="I37" s="1" t="str"/>
      <x:c r="J37" s="1" t="str"/>
      <x:c r="K37" s="1" t="str"/>
    </x:row>
    <x:row r="38" ht="72" customHeight="1">
      <x:c r="A38" s="14" t="str">
        <x:v>OCR-01</x:v>
      </x:c>
      <x:c r="B38" s="1" t="str">
        <x:v>Remote OCR</x:v>
      </x:c>
      <x:c r="C38" s="1" t="str">
        <x:v>OCR happy path</x:v>
      </x:c>
      <x:c r="D38" s="1" t="str">
        <x:v>Upload an image/PDF requiring OCR; monitor asynchronous submission, callback, rendition metadata, and searchable text.</x:v>
      </x:c>
      <x:c r="E38" s="1" t="str">
        <x:v>OCR job completes, callback is accepted once, rendition metadata is correct, and extracted text is searchable.</x:v>
      </x:c>
      <x:c r="F38" s="15" t="str">
        <x:v>Critical</x:v>
      </x:c>
      <x:c r="G38" s="1" t="str"/>
      <x:c r="H38" s="18" t="str">
        <x:v>Not Run</x:v>
      </x:c>
      <x:c r="I38" s="1" t="str"/>
      <x:c r="J38" s="1" t="str"/>
      <x:c r="K38" s="1" t="str"/>
    </x:row>
    <x:row r="39" ht="72" customHeight="1">
      <x:c r="A39" s="14" t="str">
        <x:v>OCR-02</x:v>
      </x:c>
      <x:c r="B39" s="1" t="str">
        <x:v>Remote OCR</x:v>
      </x:c>
      <x:c r="C39" s="1" t="str">
        <x:v>OCR retry/timeout</x:v>
      </x:c>
      <x:c r="D39" s="1" t="str">
        <x:v>Simulate OCR service delay/failure; observe retries, timeout, queue state, and user-visible status.</x:v>
      </x:c>
      <x:c r="E39" s="1" t="str">
        <x:v>Retries are bounded/idempotent, timeout is visible, and the document is not left in an ambiguous state.</x:v>
      </x:c>
      <x:c r="F39" s="15" t="str">
        <x:v>High</x:v>
      </x:c>
      <x:c r="G39" s="1" t="str"/>
      <x:c r="H39" s="18" t="str">
        <x:v>Not Run</x:v>
      </x:c>
      <x:c r="I39" s="1" t="str"/>
      <x:c r="J39" s="1" t="str"/>
      <x:c r="K39" s="1" t="str"/>
    </x:row>
    <x:row r="40" ht="72" customHeight="1">
      <x:c r="A40" s="14" t="str">
        <x:v>OCR-03</x:v>
      </x:c>
      <x:c r="B40" s="1" t="str">
        <x:v>Remote OCR</x:v>
      </x:c>
      <x:c r="C40" s="1" t="str">
        <x:v>OCR new version</x:v>
      </x:c>
      <x:c r="D40" s="1" t="str">
        <x:v>OCR a document, create a new version, and repeat OCR; inspect renditions and metadata.</x:v>
      </x:c>
      <x:c r="E40" s="1" t="str">
        <x:v>Each version has correct OCR processing and no rendition or callback is attached to the wrong version.</x:v>
      </x:c>
      <x:c r="F40" s="15" t="str">
        <x:v>High</x:v>
      </x:c>
      <x:c r="G40" s="1" t="str"/>
      <x:c r="H40" s="18" t="str">
        <x:v>Not Run</x:v>
      </x:c>
      <x:c r="I40" s="1" t="str"/>
      <x:c r="J40" s="1" t="str"/>
      <x:c r="K40" s="1" t="str"/>
    </x:row>
    <x:row r="41" ht="72" customHeight="1">
      <x:c r="A41" s="14" t="str">
        <x:v>TR-01</x:v>
      </x:c>
      <x:c r="B41" s="1" t="str">
        <x:v>Transformations</x:v>
      </x:c>
      <x:c r="C41" s="1" t="str">
        <x:v>Compressed PDF rendition</x:v>
      </x:c>
      <x:c r="D41" s="1" t="str">
        <x:v>Place a PDF below ev:pdffolder; trigger the named compressedPdf rendition; inspect limits and output.</x:v>
      </x:c>
      <x:c r="E41" s="1" t="str">
        <x:v>Bounded Ghostscript transformation creates a valid compressed PDF without blocking normal PDF handling.</x:v>
      </x:c>
      <x:c r="F41" s="15" t="str">
        <x:v>Critical</x:v>
      </x:c>
      <x:c r="G41" s="1" t="str"/>
      <x:c r="H41" s="18" t="str">
        <x:v>Not Run</x:v>
      </x:c>
      <x:c r="I41" s="1" t="str"/>
      <x:c r="J41" s="1" t="str"/>
      <x:c r="K41" s="1" t="str"/>
    </x:row>
    <x:row r="42" ht="72" customHeight="1">
      <x:c r="A42" s="14" t="str">
        <x:v>TR-02</x:v>
      </x:c>
      <x:c r="B42" s="1" t="str">
        <x:v>Transformations</x:v>
      </x:c>
      <x:c r="C42" s="1" t="str">
        <x:v>DWG/DXF preview</x:v>
      </x:c>
      <x:c r="D42" s="1" t="str">
        <x:v>Upload representative DWG/DXF files covering model space, layouts, fonts, and multi-page output.</x:v>
      </x:c>
      <x:c r="E42" s="1" t="str">
        <x:v>CAD T-Engine creates readable PDF previews for supported files and fails safely for unsupported files.</x:v>
      </x:c>
      <x:c r="F42" s="15" t="str">
        <x:v>Critical</x:v>
      </x:c>
      <x:c r="G42" s="1" t="str"/>
      <x:c r="H42" s="18" t="str">
        <x:v>Not Run</x:v>
      </x:c>
      <x:c r="I42" s="1" t="str"/>
      <x:c r="J42" s="1" t="str"/>
      <x:c r="K42" s="1" t="str"/>
    </x:row>
    <x:row r="43" ht="72" customHeight="1">
      <x:c r="A43" s="14" t="str">
        <x:v>DATA-01</x:v>
      </x:c>
      <x:c r="B43" s="1" t="str">
        <x:v>Data migration</x:v>
      </x:c>
      <x:c r="C43" s="1" t="str">
        <x:v>Model and metadata validation</x:v>
      </x:c>
      <x:c r="D43" s="1" t="str">
        <x:v>Migrate a representative dataset; compare custom models, namespaces, aspects, types, constraints, permissions, and versions.</x:v>
      </x:c>
      <x:c r="E43" s="1" t="str">
        <x:v>Existing content remains readable and metadata, permissions, versions, and workflow references are preserved.</x:v>
      </x:c>
      <x:c r="F43" s="15" t="str">
        <x:v>Critical</x:v>
      </x:c>
      <x:c r="G43" s="1" t="str"/>
      <x:c r="H43" s="18" t="str">
        <x:v>Not Run</x:v>
      </x:c>
      <x:c r="I43" s="1" t="str"/>
      <x:c r="J43" s="1" t="str"/>
      <x:c r="K43" s="1" t="str"/>
    </x:row>
    <x:row r="44" ht="72" customHeight="1">
      <x:c r="A44" s="14" t="str">
        <x:v>DATA-02</x:v>
      </x:c>
      <x:c r="B44" s="1" t="str">
        <x:v>Data migration</x:v>
      </x:c>
      <x:c r="C44" s="1" t="str">
        <x:v>Search/reindex validation</x:v>
      </x:c>
      <x:c r="D44" s="1" t="str">
        <x:v>After migration, reindex Solr; check alfresco/archive cores, tracker state, and representative search results.</x:v>
      </x:c>
      <x:c r="E44" s="1" t="str">
        <x:v>Indexes are healthy, tracker lag returns to normal, and search results/counts match the migrated repository.</x:v>
      </x:c>
      <x:c r="F44" s="15" t="str">
        <x:v>High</x:v>
      </x:c>
      <x:c r="G44" s="1" t="str"/>
      <x:c r="H44" s="18" t="str">
        <x:v>Not Run</x:v>
      </x:c>
      <x:c r="I44" s="1" t="str"/>
      <x:c r="J44" s="1" t="str"/>
      <x:c r="K44" s="1" t="str"/>
    </x:row>
    <x:row r="45" ht="72" customHeight="1">
      <x:c r="A45" s="14" t="str">
        <x:v>OPS-01</x:v>
      </x:c>
      <x:c r="B45" s="1" t="str">
        <x:v>Operations</x:v>
      </x:c>
      <x:c r="C45" s="1" t="str">
        <x:v>Backup/restore rehearsal</x:v>
      </x:c>
      <x:c r="D45" s="1" t="str">
        <x:v>Take verified database/content/Solr/config backups; restore to a disposable environment; run smoke tests.</x:v>
      </x:c>
      <x:c r="E45" s="1" t="str">
        <x:v>Restore completes, services start in the correct order, content/search work, and rollback evidence is recorded.</x:v>
      </x:c>
      <x:c r="F45" s="15" t="str">
        <x:v>Critical</x:v>
      </x:c>
      <x:c r="G45" s="1" t="str"/>
      <x:c r="H45" s="18" t="str">
        <x:v>Not Run</x:v>
      </x:c>
      <x:c r="I45" s="1" t="str"/>
      <x:c r="J45" s="1" t="str"/>
      <x:c r="K45" s="1" t="str"/>
    </x:row>
    <x:row r="46" ht="72" customHeight="1">
      <x:c r="A46" s="14" t="str">
        <x:v>OPS-02</x:v>
      </x:c>
      <x:c r="B46" s="1" t="str">
        <x:v>Operations</x:v>
      </x:c>
      <x:c r="C46" s="1" t="str">
        <x:v>Cutover and hypercare</x:v>
      </x:c>
      <x:c r="D46" s="1" t="str">
        <x:v>Execute the timed production cutover runbook including go/no-go, rollback decision points, and monitoring.</x:v>
      </x:c>
      <x:c r="E46" s="1" t="str">
        <x:v>Cutover completes within target time, rollback is actionable, and monitoring covers logs, Solr, OCR, disk, JVM, and database health.</x:v>
      </x:c>
      <x:c r="F46" s="15" t="str">
        <x:v>Critical</x:v>
      </x:c>
      <x:c r="G46" s="1" t="str"/>
      <x:c r="H46" s="18" t="str">
        <x:v>Not Run</x:v>
      </x:c>
      <x:c r="I46" s="1" t="str"/>
      <x:c r="J46" s="1" t="str"/>
      <x:c r="K46" s="1" t="str"/>
    </x:row>
  </x:sheetData>
  <x:mergeCells>
    <x:mergeCell ref="A1:K1"/>
    <x:mergeCell ref="A2:K2"/>
  </x:mergeCells>
  <x:pageMargins left="0.7" right="0.7" top="0.75" bottom="0.75" header="0.3" footer="0.3"/>
</x:worksheet>
</file>